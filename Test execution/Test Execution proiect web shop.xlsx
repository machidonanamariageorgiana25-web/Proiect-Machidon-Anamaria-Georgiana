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est/Downloads/"/>
    </mc:Choice>
  </mc:AlternateContent>
  <xr:revisionPtr revIDLastSave="0" documentId="8_{BEA48DB4-29B9-8044-BD05-97B5FF6FB85A}" xr6:coauthVersionLast="47" xr6:coauthVersionMax="47" xr10:uidLastSave="{00000000-0000-0000-0000-000000000000}"/>
  <bookViews>
    <workbookView xWindow="0" yWindow="600" windowWidth="28800" windowHeight="16220" xr2:uid="{00000000-000D-0000-FFFF-FFFF00000000}"/>
  </bookViews>
  <sheets>
    <sheet name="TestCases"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YoAMShN0pL7oGNbdJwTA8ZSJcw6ZGxhN2XcJEpSzGY="/>
    </ext>
  </extLst>
</workbook>
</file>

<file path=xl/calcChain.xml><?xml version="1.0" encoding="utf-8"?>
<calcChain xmlns="http://schemas.openxmlformats.org/spreadsheetml/2006/main">
  <c r="A2" i="2" l="1"/>
  <c r="D2" i="2"/>
  <c r="C2" i="2"/>
  <c r="B2" i="2"/>
  <c r="I2" i="2" l="1"/>
  <c r="G2" i="2"/>
  <c r="F2" i="2"/>
  <c r="E2" i="2"/>
  <c r="H2" i="2"/>
</calcChain>
</file>

<file path=xl/sharedStrings.xml><?xml version="1.0" encoding="utf-8"?>
<sst xmlns="http://schemas.openxmlformats.org/spreadsheetml/2006/main" count="220" uniqueCount="140">
  <si>
    <t>TestCaseID - Title</t>
  </si>
  <si>
    <t>Priority</t>
  </si>
  <si>
    <t>Automated</t>
  </si>
  <si>
    <t>Test Steps</t>
  </si>
  <si>
    <t>Test Data</t>
  </si>
  <si>
    <t>Expected Result</t>
  </si>
  <si>
    <t>Actual Result</t>
  </si>
  <si>
    <t>Pass/Fail/Blocked</t>
  </si>
  <si>
    <t>Total tests</t>
  </si>
  <si>
    <t>Nb of Pass test</t>
  </si>
  <si>
    <t>Nb of Failed test</t>
  </si>
  <si>
    <t>Nb. Of Blocked tests</t>
  </si>
  <si>
    <t>Total test covered</t>
  </si>
  <si>
    <t>Blocked Tests%</t>
  </si>
  <si>
    <t>Failed test%</t>
  </si>
  <si>
    <t>Pass test %</t>
  </si>
  <si>
    <t>Test Suite/Scenario</t>
  </si>
  <si>
    <t>BUG ID</t>
  </si>
  <si>
    <t>Interfata Login</t>
  </si>
  <si>
    <t>1 - Username si parola valide</t>
  </si>
  <si>
    <t>P1</t>
  </si>
  <si>
    <t>Redirectionare catre pagina de produse</t>
  </si>
  <si>
    <t>1. Username spatiu gol
2. Parola valida</t>
  </si>
  <si>
    <t>1. Username "!$
2. Parola valida</t>
  </si>
  <si>
    <t>1. Buton logout</t>
  </si>
  <si>
    <t>Redirectionare catre pagina de autentificare</t>
  </si>
  <si>
    <t>1. Poza produs
2. Descriere produs
3. Pret
4. Buton de adaugare in cos</t>
  </si>
  <si>
    <t>Lista cu toate produsele disponibile, fiecare produs avand descriere, imagine, pret, si buton de adaugare in cos</t>
  </si>
  <si>
    <t>1. Selectare filtru de la A la Z</t>
  </si>
  <si>
    <t>Asezarea produselor de la A la Z</t>
  </si>
  <si>
    <t>1. Accesare pagina produse
2. Selectare filtru de la Z la A</t>
  </si>
  <si>
    <t>1. Accesare pagina produse
2. Selectare filtru de la A la Z</t>
  </si>
  <si>
    <t>1. Selectare filtru de la Z la A</t>
  </si>
  <si>
    <t>Asezarea produselor de la Z la A</t>
  </si>
  <si>
    <t>1. Accesare pagina produse
2. Selectare filtru pret crescator</t>
  </si>
  <si>
    <t>1. Selectare filtru de la cel mai mic pret la cel mai mare</t>
  </si>
  <si>
    <t>Afisarea pretului de la cel mai mic la cel mai mare</t>
  </si>
  <si>
    <t>1. Accesare pagina produse
2. Selectare filtru pret descrescator</t>
  </si>
  <si>
    <t>1. Selectare filtru de la cel mai mare pret la cel mai mic</t>
  </si>
  <si>
    <t>1. Accesare pagina produse
2. Selectarea nr maxim de produse</t>
  </si>
  <si>
    <t>Afisare nr maxim de produse in cos</t>
  </si>
  <si>
    <t>Epic sadface:Username and password do not match any user in this service</t>
  </si>
  <si>
    <t>1. Adaugarea in cos a nr maxim produse
2. Selectare cos cumparaturi</t>
  </si>
  <si>
    <t>Afisarea produsului selectat</t>
  </si>
  <si>
    <t>1. Accesare pagina produse
2. Selectarea produse in cos
3. Selectare cos cumparaturi
4. Selectare buton de eliminare produs din cos</t>
  </si>
  <si>
    <t>1. Adaugare 3 produse in cos
2. Eliminare 1 produs din cos</t>
  </si>
  <si>
    <t>Afisarea produselor ramase</t>
  </si>
  <si>
    <t>1. Accesare pagina produse
2. Selectare produs 
3. Adaugare produs in cos</t>
  </si>
  <si>
    <t>Afisare produs in cos</t>
  </si>
  <si>
    <t>1. Selectare oricare produs 
2. Adaugare produs in cos</t>
  </si>
  <si>
    <t>1. Selectare oricare produs 
2. Adaugare produs in cos cumparaturi
3. Eliminare produs din cos de cumparaturi</t>
  </si>
  <si>
    <t>Afisare cos cumparaturi gol</t>
  </si>
  <si>
    <t>1. Accesare site
2. introducem in campul Username date valide
3. introducem in campul Password date valide
4. Apasam butonul Login</t>
  </si>
  <si>
    <t>1. Accesare site
2. introducem in campul Username date valide
3. introducem in campul Password date invalide
4. Apasam butonul Login</t>
  </si>
  <si>
    <t>1. Accesare site
2. In campul Username lasam spatiu gol
3. introducem in campul Password date invalide
4. Apasam butonul Login</t>
  </si>
  <si>
    <t>1. Username valid Standard
2. Parola invalida</t>
  </si>
  <si>
    <t>1.Accesare site
2. In campul Username intorducem caracatere speciale
3. introducem in campul Password date invalide
4. Apasam butonul Login</t>
  </si>
  <si>
    <t>Accesare site
2. In campul username introducem date valide
3. In campul Password Introducem date valide
3. Selecatre buton Login
4. Accesarea butonului de logout</t>
  </si>
  <si>
    <t>1. Accesare site
2. introducem in campul Username date valide
3. introducem in campul Password date valide
4. Apasam butonul Login
5. Accesare pagina produse
6. Verificare poza produs sa coincida cu descrierea
7. Verificare pret produs
8. Verificare buton de adaugare produse in cos</t>
  </si>
  <si>
    <t>1. Accesare pagina produse
2. Adaugarea unui singur produsin cosul de cumparaturi</t>
  </si>
  <si>
    <t xml:space="preserve">
1. Selectare unui produs in cosul de cumparaturi</t>
  </si>
  <si>
    <t>1. Accesare pagina produse
2. Accesare checkout information
3. Checkout overview
4. Selectare buton de finish</t>
  </si>
  <si>
    <t>1. Nu selectam nici un produs
2. Accesare checkout information
3. Checkout overview
4. Selectare buton de finish</t>
  </si>
  <si>
    <t>Nu trebuie sa te lase sa mergi la urmatorul pas</t>
  </si>
  <si>
    <t>1. Accesare pagina produse
2. Selectare produs 
3. Adaugare produs in cos
4. Eliminare produs din cos din single product page</t>
  </si>
  <si>
    <t xml:space="preserve">1. Accesare pagina produse
2. Selectare a 5 produse in cosul de cumparaturi
3. Selectarea cosului de cumparaturi
4. Eliminarea unui produs din cos </t>
  </si>
  <si>
    <t>Afisarea a 4 produse in cosul de cumparaturi</t>
  </si>
  <si>
    <t>1.Selectarea a 5 produse 
2. Eliminarea unui produs</t>
  </si>
  <si>
    <t xml:space="preserve">18. Continuarea cumparaturilor
</t>
  </si>
  <si>
    <t>1. Accesare pagina produse
2. Selectare produs 
3. Adaugare produs in cos
4. Selectare buton Continue Shopping</t>
  </si>
  <si>
    <t>1. Selectarea unui produs
2. Selectarea butonului de Continue Shopping</t>
  </si>
  <si>
    <t xml:space="preserve">Redirectionare pagina urmatoare Checkout Your information </t>
  </si>
  <si>
    <t>19. Completare cu date corecte</t>
  </si>
  <si>
    <t>1. Selectare pagina Checkout your information
2. Completare campul First Name date valide
3. Completare campul Last name cu date valide
4. Completare campul Zip/Postal code cu date valide
5. Selectare buton Continue</t>
  </si>
  <si>
    <t>Redirectionare pagina urmatoare Checkout Overview</t>
  </si>
  <si>
    <t>20. Camp gol pentru First name</t>
  </si>
  <si>
    <t>1. Selectare pagina Checkout your information
2. Completare campul First Name spatiu gol
3. Completare campul Last name cu date valide
4. Completare campul Zip/Postal code cu date valide
5. Selectare buton Continue</t>
  </si>
  <si>
    <t>Error:First Name is required</t>
  </si>
  <si>
    <t>21. Camp gol pentru Last name</t>
  </si>
  <si>
    <t>1. Selectare pagina Checkout your information
2. Completare campul First Name date valide
3. Completare campul Last name spatiu gol
4. Completare campul Zip/Postal code cu date valide
5. Selectare buton Continue</t>
  </si>
  <si>
    <t>22. Camp gol pentru Cod postal</t>
  </si>
  <si>
    <t>1. Selectare pagina Checkout your information
2. Completare campul First Name date valide
3. Completare campul Last name date valide
4. Completare campul Zip/Postal code spatiu gol
5. Selectare buton Continue</t>
  </si>
  <si>
    <t>Error:Zip/Postal code is required</t>
  </si>
  <si>
    <t>23. Accesarea paginii urmatoare fara a completa informatiile</t>
  </si>
  <si>
    <t>1. Selectare pagina Checkout your information
2. Completare campul First Name  spatiu gol
3. Completare campul Last name  spatiu gol
4. Completare campul Zip/Postal code spatiu gol
5. Selectare buton Continue</t>
  </si>
  <si>
    <t>1. Camp gol
2. Camp gol
3. Camp gol</t>
  </si>
  <si>
    <t>1. Selectare pagina Checkout your information
2. Completare campul First Name  caractere speciale
3. Completare campul Last name  date valide
4. Completare campul Zip/Postal code date valide
5. Selectare buton Continue</t>
  </si>
  <si>
    <t>1. First name caractere speciale !$..
2.  Last name date valide 
3. Zip/Postal code date valide</t>
  </si>
  <si>
    <t>24. Completare cu caractere speciale in campul First name</t>
  </si>
  <si>
    <t>25. Completare cu cifre in campul Last name</t>
  </si>
  <si>
    <t>1. Selectare pagina Checkout your information
2. Completare campul First Name date valide
3. Completare campul Last name  cifre
4. Completare campul Zip/Postal code date valide
5. Selectare buton Continue</t>
  </si>
  <si>
    <t>1. First name caractere speciale date valide
2.  Last name 1234
3. Zip/Postal code date valide</t>
  </si>
  <si>
    <t>Error:Last Name is required</t>
  </si>
  <si>
    <t>26. Completare cu litere in campul cod postal</t>
  </si>
  <si>
    <t>1. Selectare pagina Checkout your information
2. Completare campul First Name date valide
3. Completare campul Last name  date valide
4. Completare campul Zip/Postal code litere
5. Selectare buton Continue</t>
  </si>
  <si>
    <t>1. First name caractere speciale date valide
2.  Last name date valide
3. Zip/Postal code abcd</t>
  </si>
  <si>
    <t xml:space="preserve">27. Selectarea butonului de cancel
</t>
  </si>
  <si>
    <t>1. Selectare pagina Checkout your information
2. Completare campul First Name date valide
3. Completare campul Last name  date valide
4. Completare campul Zip/Postal code date valide
5. Selectare buton Cancel</t>
  </si>
  <si>
    <t xml:space="preserve">1. First name date valide
2. Last name date valide
3. Spatiu gol </t>
  </si>
  <si>
    <t>1. First name date valide
2. Spatiu gol 
3.Zip/Postal code date valide</t>
  </si>
  <si>
    <t>1. Spatiu gol
2.  Last name date valide
3. Zip/Postal code date valide</t>
  </si>
  <si>
    <t>1. First name date valide
2. Last name date valide
3. Zip/Postal code date valide</t>
  </si>
  <si>
    <t>28. Informatiile afisate sunt corecte si mergem la finalizarea comenzii</t>
  </si>
  <si>
    <t>1. Selectare pagina Checkout your information
2. Completare campul First Name date valide
3. Completare campul Last name  date valide
4. Completare campul Zip/Postal code date valide
5. Selectare buton Continue
6. Redirectionare pagina urmatoare Checkout Overview 
7. Selectare buton Finish</t>
  </si>
  <si>
    <t>1. First name date valide 
2. Last name date valide
3. Zip/Postal code date valide
4. Selectare buton Finish</t>
  </si>
  <si>
    <t>Thank you for your order</t>
  </si>
  <si>
    <t>Error: First Name is required</t>
  </si>
  <si>
    <t>Error: Zip/Postal code is required</t>
  </si>
  <si>
    <t>1. First name date valide 
2. Last name date valide
3. Zip/Postal code date valide
4. Selectare buton Cancel</t>
  </si>
  <si>
    <t>Pagina produse</t>
  </si>
  <si>
    <t>Cos de cumparaturi</t>
  </si>
  <si>
    <t>Checkout: Your Information</t>
  </si>
  <si>
    <t>Checkout overview</t>
  </si>
  <si>
    <t>2- Username valid si parola invalida</t>
  </si>
  <si>
    <t>3- Spatiu gol user name si parola valida</t>
  </si>
  <si>
    <t>4. Caractere speciale si parola valida</t>
  </si>
  <si>
    <t>5. Accesarea butonului de logout</t>
  </si>
  <si>
    <t>6. Verificarea paginii de articole ca fiecare produs sa aiba imaginea corespunzatoare, pret, descriere si un buton de adaugare in cos</t>
  </si>
  <si>
    <t>7. Filtrare de la A la Z</t>
  </si>
  <si>
    <t>8. Filtrare de Z la A</t>
  </si>
  <si>
    <t>9. Filtrare produse pret crescator</t>
  </si>
  <si>
    <t>10. Filtrare produse pret descrescator</t>
  </si>
  <si>
    <t>11. Adaugarea nr maxim de produse in cos</t>
  </si>
  <si>
    <t>12. Adaugarea unui produs in cos</t>
  </si>
  <si>
    <t>13. Eliminarea unui produs din cos</t>
  </si>
  <si>
    <t>14. Un produs se poate adauga din single product page</t>
  </si>
  <si>
    <t>15. Un produs se poate elimina din single product page</t>
  </si>
  <si>
    <t>16. Neselectarea niciunui produs in cos</t>
  </si>
  <si>
    <t>17. Nr de articole este afisat si dupa eliminarea unui produs din cosul de cumparaturi</t>
  </si>
  <si>
    <t>1. standard_user
2. secret_sauce</t>
  </si>
  <si>
    <t>Pass</t>
  </si>
  <si>
    <t>Epic sadface: Username and password do not match any user in this service</t>
  </si>
  <si>
    <t>Afisarea pretului de la cel mai mare la cel mai mic</t>
  </si>
  <si>
    <t>Thank you for your order!</t>
  </si>
  <si>
    <t>Fail</t>
  </si>
  <si>
    <t>Error: Last Name is required</t>
  </si>
  <si>
    <t>Error: Postal Code is required</t>
  </si>
  <si>
    <t>Redirectionare Checkout: Overview</t>
  </si>
  <si>
    <t>Redirectionare catre pagina principala cu produse</t>
  </si>
  <si>
    <t>Redirectionare pagina anterioara Checkout: Your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</si>
</sst>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Verdana"/>
      <family val="2"/>
    </font>
    <font>
      <sz val="10"/>
      <color theme="1"/>
      <name val="Verdana"/>
      <family val="2"/>
    </font>
    <font>
      <sz val="10"/>
      <color theme="1"/>
      <name val="Arial"/>
      <family val="2"/>
    </font>
    <font>
      <sz val="14"/>
      <color theme="1"/>
      <name val="Verdana"/>
      <family val="2"/>
    </font>
    <font>
      <sz val="14"/>
      <color theme="1"/>
      <name val="Arial"/>
      <family val="2"/>
    </font>
    <font>
      <b/>
      <sz val="14"/>
      <color theme="1"/>
      <name val="Arial"/>
      <family val="2"/>
    </font>
    <font>
      <b/>
      <sz val="14"/>
      <color rgb="FF1155CC"/>
      <name val="Inconsolata"/>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0" xfId="0" applyFont="1" applyFill="1" applyAlignment="1">
      <alignment horizont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center" wrapText="1"/>
    </xf>
    <xf numFmtId="0" fontId="2" fillId="3" borderId="1" xfId="0" applyFont="1" applyFill="1" applyBorder="1" applyAlignment="1">
      <alignment horizontal="left"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5" fillId="4" borderId="1" xfId="0" applyFont="1" applyFill="1" applyBorder="1" applyAlignment="1">
      <alignment horizontal="center"/>
    </xf>
    <xf numFmtId="0" fontId="6" fillId="0" borderId="1" xfId="0" applyFont="1" applyBorder="1" applyAlignment="1">
      <alignment horizontal="center"/>
    </xf>
    <xf numFmtId="2" fontId="7" fillId="3" borderId="1" xfId="0" applyNumberFormat="1" applyFont="1" applyFill="1" applyBorder="1" applyAlignment="1">
      <alignment horizontal="center"/>
    </xf>
    <xf numFmtId="2" fontId="6" fillId="0" borderId="1" xfId="0" applyNumberFormat="1" applyFont="1" applyBorder="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9"/>
  <sheetViews>
    <sheetView tabSelected="1" topLeftCell="A6" zoomScale="91" zoomScaleNormal="134" workbookViewId="0">
      <selection activeCell="B30" sqref="B30"/>
    </sheetView>
  </sheetViews>
  <sheetFormatPr baseColWidth="10" defaultColWidth="12.6640625" defaultRowHeight="15" customHeight="1" x14ac:dyDescent="0.15"/>
  <cols>
    <col min="1" max="1" width="17.6640625" customWidth="1"/>
    <col min="2" max="2" width="31.33203125" customWidth="1"/>
    <col min="3" max="4" width="11.83203125" customWidth="1"/>
    <col min="5" max="5" width="47.83203125" customWidth="1"/>
    <col min="6" max="6" width="43.33203125" customWidth="1"/>
    <col min="7" max="7" width="47" customWidth="1"/>
    <col min="8" max="8" width="41.5" customWidth="1"/>
    <col min="9" max="9" width="27" customWidth="1"/>
    <col min="10" max="10" width="21.6640625" customWidth="1"/>
  </cols>
  <sheetData>
    <row r="1" spans="1:10" ht="69.75" customHeight="1" x14ac:dyDescent="0.15">
      <c r="A1" s="1" t="s">
        <v>16</v>
      </c>
      <c r="B1" s="1" t="s">
        <v>0</v>
      </c>
      <c r="C1" s="2" t="s">
        <v>1</v>
      </c>
      <c r="D1" s="3" t="s">
        <v>2</v>
      </c>
      <c r="E1" s="1" t="s">
        <v>3</v>
      </c>
      <c r="F1" s="1" t="s">
        <v>4</v>
      </c>
      <c r="G1" s="1" t="s">
        <v>5</v>
      </c>
      <c r="H1" s="1" t="s">
        <v>6</v>
      </c>
      <c r="I1" s="1" t="s">
        <v>7</v>
      </c>
      <c r="J1" s="1" t="s">
        <v>17</v>
      </c>
    </row>
    <row r="2" spans="1:10" ht="75" customHeight="1" x14ac:dyDescent="0.2">
      <c r="A2" s="20" t="s">
        <v>18</v>
      </c>
      <c r="B2" s="4" t="s">
        <v>19</v>
      </c>
      <c r="C2" s="5" t="s">
        <v>20</v>
      </c>
      <c r="D2" s="5"/>
      <c r="E2" s="6" t="s">
        <v>52</v>
      </c>
      <c r="F2" s="7" t="s">
        <v>129</v>
      </c>
      <c r="G2" s="6" t="s">
        <v>21</v>
      </c>
      <c r="H2" s="6" t="s">
        <v>21</v>
      </c>
      <c r="I2" s="8" t="s">
        <v>130</v>
      </c>
      <c r="J2" s="8"/>
    </row>
    <row r="3" spans="1:10" ht="81" customHeight="1" x14ac:dyDescent="0.2">
      <c r="A3" s="21"/>
      <c r="B3" s="4" t="s">
        <v>113</v>
      </c>
      <c r="C3" s="5" t="s">
        <v>20</v>
      </c>
      <c r="D3" s="5"/>
      <c r="E3" s="6" t="s">
        <v>53</v>
      </c>
      <c r="F3" s="7" t="s">
        <v>55</v>
      </c>
      <c r="G3" s="6" t="s">
        <v>41</v>
      </c>
      <c r="H3" s="6" t="s">
        <v>41</v>
      </c>
      <c r="I3" s="8" t="s">
        <v>130</v>
      </c>
      <c r="J3" s="8"/>
    </row>
    <row r="4" spans="1:10" ht="96.75" customHeight="1" x14ac:dyDescent="0.2">
      <c r="A4" s="21"/>
      <c r="B4" s="4" t="s">
        <v>114</v>
      </c>
      <c r="C4" s="5" t="s">
        <v>20</v>
      </c>
      <c r="D4" s="5"/>
      <c r="E4" s="6" t="s">
        <v>54</v>
      </c>
      <c r="F4" s="7" t="s">
        <v>22</v>
      </c>
      <c r="G4" s="6" t="s">
        <v>41</v>
      </c>
      <c r="H4" s="6" t="s">
        <v>131</v>
      </c>
      <c r="I4" s="8" t="s">
        <v>130</v>
      </c>
      <c r="J4" s="8"/>
    </row>
    <row r="5" spans="1:10" ht="81" customHeight="1" x14ac:dyDescent="0.2">
      <c r="A5" s="21"/>
      <c r="B5" s="4" t="s">
        <v>115</v>
      </c>
      <c r="C5" s="5" t="s">
        <v>20</v>
      </c>
      <c r="D5" s="5"/>
      <c r="E5" s="6" t="s">
        <v>56</v>
      </c>
      <c r="F5" s="7" t="s">
        <v>23</v>
      </c>
      <c r="G5" s="6" t="s">
        <v>41</v>
      </c>
      <c r="H5" s="9" t="s">
        <v>41</v>
      </c>
      <c r="I5" s="8" t="s">
        <v>130</v>
      </c>
      <c r="J5" s="8"/>
    </row>
    <row r="6" spans="1:10" ht="83.25" customHeight="1" x14ac:dyDescent="0.2">
      <c r="A6" s="21"/>
      <c r="B6" s="4" t="s">
        <v>116</v>
      </c>
      <c r="C6" s="5" t="s">
        <v>20</v>
      </c>
      <c r="D6" s="5"/>
      <c r="E6" s="6" t="s">
        <v>57</v>
      </c>
      <c r="F6" s="7" t="s">
        <v>24</v>
      </c>
      <c r="G6" s="6" t="s">
        <v>25</v>
      </c>
      <c r="H6" s="9" t="s">
        <v>25</v>
      </c>
      <c r="I6" s="8" t="s">
        <v>130</v>
      </c>
      <c r="J6" s="8"/>
    </row>
    <row r="7" spans="1:10" ht="83.25" customHeight="1" x14ac:dyDescent="0.2">
      <c r="A7" s="20" t="s">
        <v>109</v>
      </c>
      <c r="B7" s="4" t="s">
        <v>117</v>
      </c>
      <c r="C7" s="5" t="s">
        <v>20</v>
      </c>
      <c r="D7" s="5"/>
      <c r="E7" s="6" t="s">
        <v>58</v>
      </c>
      <c r="F7" s="7" t="s">
        <v>26</v>
      </c>
      <c r="G7" s="6" t="s">
        <v>27</v>
      </c>
      <c r="H7" s="9" t="s">
        <v>27</v>
      </c>
      <c r="I7" s="8" t="s">
        <v>130</v>
      </c>
      <c r="J7" s="8"/>
    </row>
    <row r="8" spans="1:10" ht="66.75" customHeight="1" x14ac:dyDescent="0.2">
      <c r="A8" s="21"/>
      <c r="B8" s="10" t="s">
        <v>118</v>
      </c>
      <c r="C8" s="5" t="s">
        <v>20</v>
      </c>
      <c r="D8" s="11"/>
      <c r="E8" s="10" t="s">
        <v>31</v>
      </c>
      <c r="F8" s="11" t="s">
        <v>28</v>
      </c>
      <c r="G8" s="11" t="s">
        <v>29</v>
      </c>
      <c r="H8" s="11" t="s">
        <v>29</v>
      </c>
      <c r="I8" s="8" t="s">
        <v>130</v>
      </c>
      <c r="J8" s="12"/>
    </row>
    <row r="9" spans="1:10" ht="74.25" customHeight="1" x14ac:dyDescent="0.2">
      <c r="A9" s="21"/>
      <c r="B9" s="10" t="s">
        <v>119</v>
      </c>
      <c r="C9" s="5" t="s">
        <v>20</v>
      </c>
      <c r="D9" s="11"/>
      <c r="E9" s="10" t="s">
        <v>30</v>
      </c>
      <c r="F9" s="11" t="s">
        <v>32</v>
      </c>
      <c r="G9" s="11" t="s">
        <v>33</v>
      </c>
      <c r="H9" s="11" t="s">
        <v>33</v>
      </c>
      <c r="I9" s="8" t="s">
        <v>130</v>
      </c>
      <c r="J9" s="12"/>
    </row>
    <row r="10" spans="1:10" ht="69.75" customHeight="1" x14ac:dyDescent="0.2">
      <c r="A10" s="21"/>
      <c r="B10" s="10" t="s">
        <v>120</v>
      </c>
      <c r="C10" s="5" t="s">
        <v>20</v>
      </c>
      <c r="D10" s="11"/>
      <c r="E10" s="10" t="s">
        <v>34</v>
      </c>
      <c r="F10" s="11" t="s">
        <v>35</v>
      </c>
      <c r="G10" s="11" t="s">
        <v>36</v>
      </c>
      <c r="H10" s="11" t="s">
        <v>36</v>
      </c>
      <c r="I10" s="8" t="s">
        <v>130</v>
      </c>
      <c r="J10" s="12"/>
    </row>
    <row r="11" spans="1:10" ht="87.75" customHeight="1" x14ac:dyDescent="0.2">
      <c r="A11" s="21"/>
      <c r="B11" s="10" t="s">
        <v>121</v>
      </c>
      <c r="C11" s="5" t="s">
        <v>20</v>
      </c>
      <c r="D11" s="11"/>
      <c r="E11" s="10" t="s">
        <v>37</v>
      </c>
      <c r="F11" s="11" t="s">
        <v>38</v>
      </c>
      <c r="G11" s="11" t="s">
        <v>132</v>
      </c>
      <c r="H11" s="11" t="s">
        <v>132</v>
      </c>
      <c r="I11" s="8" t="s">
        <v>130</v>
      </c>
      <c r="J11" s="12"/>
    </row>
    <row r="12" spans="1:10" ht="69" customHeight="1" x14ac:dyDescent="0.2">
      <c r="A12" s="21"/>
      <c r="B12" s="10" t="s">
        <v>122</v>
      </c>
      <c r="C12" s="5" t="s">
        <v>20</v>
      </c>
      <c r="D12" s="11"/>
      <c r="E12" s="10" t="s">
        <v>39</v>
      </c>
      <c r="F12" s="10" t="s">
        <v>42</v>
      </c>
      <c r="G12" s="11" t="s">
        <v>40</v>
      </c>
      <c r="H12" s="11" t="s">
        <v>40</v>
      </c>
      <c r="I12" s="8" t="s">
        <v>130</v>
      </c>
      <c r="J12" s="12"/>
    </row>
    <row r="13" spans="1:10" ht="69.75" customHeight="1" x14ac:dyDescent="0.2">
      <c r="A13" s="21"/>
      <c r="B13" s="10" t="s">
        <v>123</v>
      </c>
      <c r="C13" s="5" t="s">
        <v>20</v>
      </c>
      <c r="D13" s="11"/>
      <c r="E13" s="10" t="s">
        <v>59</v>
      </c>
      <c r="F13" s="10" t="s">
        <v>60</v>
      </c>
      <c r="G13" s="11" t="s">
        <v>43</v>
      </c>
      <c r="H13" s="11" t="s">
        <v>43</v>
      </c>
      <c r="I13" s="8" t="s">
        <v>130</v>
      </c>
      <c r="J13" s="12"/>
    </row>
    <row r="14" spans="1:10" ht="69" customHeight="1" x14ac:dyDescent="0.2">
      <c r="A14" s="21"/>
      <c r="B14" s="10" t="s">
        <v>124</v>
      </c>
      <c r="C14" s="5" t="s">
        <v>20</v>
      </c>
      <c r="D14" s="11"/>
      <c r="E14" s="10" t="s">
        <v>44</v>
      </c>
      <c r="F14" s="10" t="s">
        <v>45</v>
      </c>
      <c r="G14" s="11" t="s">
        <v>46</v>
      </c>
      <c r="H14" s="11" t="s">
        <v>46</v>
      </c>
      <c r="I14" s="8" t="s">
        <v>130</v>
      </c>
      <c r="J14" s="12"/>
    </row>
    <row r="15" spans="1:10" ht="54" customHeight="1" x14ac:dyDescent="0.2">
      <c r="A15" s="21"/>
      <c r="B15" s="10" t="s">
        <v>125</v>
      </c>
      <c r="C15" s="5" t="s">
        <v>20</v>
      </c>
      <c r="D15" s="11"/>
      <c r="E15" s="10" t="s">
        <v>47</v>
      </c>
      <c r="F15" s="10" t="s">
        <v>49</v>
      </c>
      <c r="G15" s="11" t="s">
        <v>48</v>
      </c>
      <c r="H15" s="11" t="s">
        <v>48</v>
      </c>
      <c r="I15" s="8" t="s">
        <v>130</v>
      </c>
      <c r="J15" s="12"/>
    </row>
    <row r="16" spans="1:10" ht="58.5" customHeight="1" x14ac:dyDescent="0.2">
      <c r="A16" s="22"/>
      <c r="B16" s="10" t="s">
        <v>126</v>
      </c>
      <c r="C16" s="5" t="s">
        <v>20</v>
      </c>
      <c r="D16" s="11"/>
      <c r="E16" s="10" t="s">
        <v>64</v>
      </c>
      <c r="F16" s="10" t="s">
        <v>50</v>
      </c>
      <c r="G16" s="11" t="s">
        <v>51</v>
      </c>
      <c r="H16" s="11" t="s">
        <v>51</v>
      </c>
      <c r="I16" s="8" t="s">
        <v>130</v>
      </c>
      <c r="J16" s="12"/>
    </row>
    <row r="17" spans="1:10" ht="61.5" customHeight="1" x14ac:dyDescent="0.2">
      <c r="A17" s="20" t="s">
        <v>110</v>
      </c>
      <c r="B17" s="10" t="s">
        <v>127</v>
      </c>
      <c r="C17" s="5" t="s">
        <v>20</v>
      </c>
      <c r="D17" s="11"/>
      <c r="E17" s="10" t="s">
        <v>61</v>
      </c>
      <c r="F17" s="10" t="s">
        <v>62</v>
      </c>
      <c r="G17" s="11" t="s">
        <v>63</v>
      </c>
      <c r="H17" s="11" t="s">
        <v>133</v>
      </c>
      <c r="I17" s="8" t="s">
        <v>134</v>
      </c>
      <c r="J17" s="12"/>
    </row>
    <row r="18" spans="1:10" ht="60.75" customHeight="1" x14ac:dyDescent="0.2">
      <c r="A18" s="21"/>
      <c r="B18" s="10" t="s">
        <v>128</v>
      </c>
      <c r="C18" s="5" t="s">
        <v>20</v>
      </c>
      <c r="D18" s="11"/>
      <c r="E18" s="10" t="s">
        <v>65</v>
      </c>
      <c r="F18" s="10" t="s">
        <v>67</v>
      </c>
      <c r="G18" s="11" t="s">
        <v>66</v>
      </c>
      <c r="H18" s="11" t="s">
        <v>66</v>
      </c>
      <c r="I18" s="8" t="s">
        <v>130</v>
      </c>
      <c r="J18" s="12"/>
    </row>
    <row r="19" spans="1:10" ht="65.25" customHeight="1" x14ac:dyDescent="0.2">
      <c r="A19" s="21"/>
      <c r="B19" s="10" t="s">
        <v>68</v>
      </c>
      <c r="C19" s="5" t="s">
        <v>20</v>
      </c>
      <c r="D19" s="11"/>
      <c r="E19" s="10" t="s">
        <v>69</v>
      </c>
      <c r="F19" s="10" t="s">
        <v>70</v>
      </c>
      <c r="G19" s="11" t="s">
        <v>71</v>
      </c>
      <c r="H19" s="11" t="s">
        <v>71</v>
      </c>
      <c r="I19" s="8" t="s">
        <v>130</v>
      </c>
      <c r="J19" s="12"/>
    </row>
    <row r="20" spans="1:10" ht="66.75" customHeight="1" x14ac:dyDescent="0.2">
      <c r="A20" s="20" t="s">
        <v>111</v>
      </c>
      <c r="B20" s="10" t="s">
        <v>72</v>
      </c>
      <c r="C20" s="5" t="s">
        <v>20</v>
      </c>
      <c r="D20" s="11"/>
      <c r="E20" s="10" t="s">
        <v>73</v>
      </c>
      <c r="F20" s="10" t="s">
        <v>101</v>
      </c>
      <c r="G20" s="11" t="s">
        <v>74</v>
      </c>
      <c r="H20" s="11" t="s">
        <v>74</v>
      </c>
      <c r="I20" s="8" t="s">
        <v>130</v>
      </c>
      <c r="J20" s="12"/>
    </row>
    <row r="21" spans="1:10" ht="65.25" customHeight="1" x14ac:dyDescent="0.2">
      <c r="A21" s="21"/>
      <c r="B21" s="10" t="s">
        <v>75</v>
      </c>
      <c r="C21" s="5" t="s">
        <v>20</v>
      </c>
      <c r="D21" s="11"/>
      <c r="E21" s="10" t="s">
        <v>76</v>
      </c>
      <c r="F21" s="10" t="s">
        <v>100</v>
      </c>
      <c r="G21" s="11" t="s">
        <v>77</v>
      </c>
      <c r="H21" s="11" t="s">
        <v>106</v>
      </c>
      <c r="I21" s="8" t="s">
        <v>130</v>
      </c>
      <c r="J21" s="12"/>
    </row>
    <row r="22" spans="1:10" ht="61.5" customHeight="1" x14ac:dyDescent="0.2">
      <c r="A22" s="21"/>
      <c r="B22" s="10" t="s">
        <v>78</v>
      </c>
      <c r="C22" s="5" t="s">
        <v>20</v>
      </c>
      <c r="D22" s="11"/>
      <c r="E22" s="10" t="s">
        <v>79</v>
      </c>
      <c r="F22" s="10" t="s">
        <v>99</v>
      </c>
      <c r="G22" s="11" t="s">
        <v>92</v>
      </c>
      <c r="H22" s="11" t="s">
        <v>135</v>
      </c>
      <c r="I22" s="8" t="s">
        <v>130</v>
      </c>
      <c r="J22" s="12"/>
    </row>
    <row r="23" spans="1:10" ht="66.75" customHeight="1" x14ac:dyDescent="0.2">
      <c r="A23" s="21"/>
      <c r="B23" s="10" t="s">
        <v>80</v>
      </c>
      <c r="C23" s="5" t="s">
        <v>20</v>
      </c>
      <c r="D23" s="11"/>
      <c r="E23" s="10" t="s">
        <v>81</v>
      </c>
      <c r="F23" s="10" t="s">
        <v>98</v>
      </c>
      <c r="G23" s="11" t="s">
        <v>82</v>
      </c>
      <c r="H23" s="11" t="s">
        <v>136</v>
      </c>
      <c r="I23" s="8" t="s">
        <v>130</v>
      </c>
      <c r="J23" s="12"/>
    </row>
    <row r="24" spans="1:10" ht="56.25" customHeight="1" x14ac:dyDescent="0.2">
      <c r="A24" s="21"/>
      <c r="B24" s="10" t="s">
        <v>83</v>
      </c>
      <c r="C24" s="5" t="s">
        <v>20</v>
      </c>
      <c r="D24" s="11"/>
      <c r="E24" s="10" t="s">
        <v>84</v>
      </c>
      <c r="F24" s="10" t="s">
        <v>85</v>
      </c>
      <c r="G24" s="11" t="s">
        <v>106</v>
      </c>
      <c r="H24" s="11" t="s">
        <v>106</v>
      </c>
      <c r="I24" s="8" t="s">
        <v>130</v>
      </c>
      <c r="J24" s="12"/>
    </row>
    <row r="25" spans="1:10" ht="61.5" customHeight="1" x14ac:dyDescent="0.2">
      <c r="A25" s="21"/>
      <c r="B25" s="10" t="s">
        <v>88</v>
      </c>
      <c r="C25" s="5" t="s">
        <v>20</v>
      </c>
      <c r="D25" s="11"/>
      <c r="E25" s="10" t="s">
        <v>86</v>
      </c>
      <c r="F25" s="10" t="s">
        <v>87</v>
      </c>
      <c r="G25" s="11" t="s">
        <v>77</v>
      </c>
      <c r="H25" s="11" t="s">
        <v>137</v>
      </c>
      <c r="I25" s="8" t="s">
        <v>134</v>
      </c>
      <c r="J25" s="12"/>
    </row>
    <row r="26" spans="1:10" ht="63" customHeight="1" x14ac:dyDescent="0.2">
      <c r="A26" s="21"/>
      <c r="B26" s="10" t="s">
        <v>89</v>
      </c>
      <c r="C26" s="5" t="s">
        <v>20</v>
      </c>
      <c r="D26" s="11"/>
      <c r="E26" s="10" t="s">
        <v>90</v>
      </c>
      <c r="F26" s="10" t="s">
        <v>91</v>
      </c>
      <c r="G26" s="11" t="s">
        <v>92</v>
      </c>
      <c r="H26" s="11" t="s">
        <v>137</v>
      </c>
      <c r="I26" s="8" t="s">
        <v>134</v>
      </c>
      <c r="J26" s="12"/>
    </row>
    <row r="27" spans="1:10" ht="72" customHeight="1" x14ac:dyDescent="0.2">
      <c r="A27" s="21"/>
      <c r="B27" s="10" t="s">
        <v>93</v>
      </c>
      <c r="C27" s="5" t="s">
        <v>20</v>
      </c>
      <c r="D27" s="11"/>
      <c r="E27" s="10" t="s">
        <v>94</v>
      </c>
      <c r="F27" s="10" t="s">
        <v>95</v>
      </c>
      <c r="G27" s="11" t="s">
        <v>107</v>
      </c>
      <c r="H27" s="11" t="s">
        <v>137</v>
      </c>
      <c r="I27" s="8" t="s">
        <v>134</v>
      </c>
      <c r="J27" s="12"/>
    </row>
    <row r="28" spans="1:10" ht="61.5" customHeight="1" x14ac:dyDescent="0.2">
      <c r="A28" s="22"/>
      <c r="B28" s="10" t="s">
        <v>96</v>
      </c>
      <c r="C28" s="5" t="s">
        <v>20</v>
      </c>
      <c r="D28" s="11"/>
      <c r="E28" s="10" t="s">
        <v>97</v>
      </c>
      <c r="F28" s="10" t="s">
        <v>108</v>
      </c>
      <c r="G28" s="11" t="s">
        <v>139</v>
      </c>
      <c r="H28" s="11" t="s">
        <v>138</v>
      </c>
      <c r="I28" s="8" t="s">
        <v>134</v>
      </c>
      <c r="J28" s="12"/>
    </row>
    <row r="29" spans="1:10" ht="65.25" customHeight="1" x14ac:dyDescent="0.2">
      <c r="A29" s="19" t="s">
        <v>112</v>
      </c>
      <c r="B29" s="10" t="s">
        <v>102</v>
      </c>
      <c r="C29" s="5" t="s">
        <v>20</v>
      </c>
      <c r="D29" s="11"/>
      <c r="E29" s="10" t="s">
        <v>103</v>
      </c>
      <c r="F29" s="10" t="s">
        <v>104</v>
      </c>
      <c r="G29" s="11" t="s">
        <v>105</v>
      </c>
      <c r="H29" s="11" t="s">
        <v>105</v>
      </c>
      <c r="I29" s="8" t="s">
        <v>130</v>
      </c>
      <c r="J29" s="12"/>
    </row>
    <row r="30" spans="1:10" ht="73.5" customHeight="1" x14ac:dyDescent="0.2">
      <c r="A30" s="11"/>
      <c r="B30" s="10"/>
      <c r="C30" s="11"/>
      <c r="D30" s="11"/>
      <c r="E30" s="10"/>
      <c r="F30" s="11"/>
      <c r="G30" s="11"/>
      <c r="H30" s="11"/>
      <c r="I30" s="8"/>
      <c r="J30" s="12"/>
    </row>
    <row r="31" spans="1:10" ht="15.75" customHeight="1" x14ac:dyDescent="0.2">
      <c r="B31" s="13"/>
      <c r="E31" s="13"/>
      <c r="I31" s="8"/>
      <c r="J31" s="14"/>
    </row>
    <row r="32" spans="1:10" ht="15.75" customHeight="1" x14ac:dyDescent="0.2">
      <c r="B32" s="13"/>
      <c r="E32" s="13"/>
      <c r="I32" s="8"/>
      <c r="J32" s="14"/>
    </row>
    <row r="33" spans="2:10" ht="15.75" customHeight="1" x14ac:dyDescent="0.2">
      <c r="B33" s="13"/>
      <c r="E33" s="13"/>
      <c r="I33" s="8"/>
      <c r="J33" s="14"/>
    </row>
    <row r="34" spans="2:10" ht="15.75" customHeight="1" x14ac:dyDescent="0.2">
      <c r="B34" s="13"/>
      <c r="E34" s="13"/>
      <c r="I34" s="8"/>
      <c r="J34" s="14"/>
    </row>
    <row r="35" spans="2:10" ht="15.75" customHeight="1" x14ac:dyDescent="0.2">
      <c r="B35" s="13"/>
      <c r="E35" s="13"/>
      <c r="I35" s="8"/>
      <c r="J35" s="14"/>
    </row>
    <row r="36" spans="2:10" ht="15.75" customHeight="1" x14ac:dyDescent="0.2">
      <c r="B36" s="13"/>
      <c r="E36" s="13"/>
      <c r="I36" s="8"/>
      <c r="J36" s="14"/>
    </row>
    <row r="37" spans="2:10" ht="15.75" customHeight="1" x14ac:dyDescent="0.2">
      <c r="B37" s="13"/>
      <c r="E37" s="13"/>
      <c r="I37" s="8"/>
      <c r="J37" s="14"/>
    </row>
    <row r="38" spans="2:10" ht="15.75" customHeight="1" x14ac:dyDescent="0.2">
      <c r="B38" s="13"/>
      <c r="E38" s="13"/>
      <c r="I38" s="8"/>
      <c r="J38" s="14"/>
    </row>
    <row r="39" spans="2:10" ht="15.75" customHeight="1" x14ac:dyDescent="0.2">
      <c r="B39" s="13"/>
      <c r="E39" s="13"/>
      <c r="I39" s="8"/>
      <c r="J39" s="14"/>
    </row>
    <row r="40" spans="2:10" ht="15.75" customHeight="1" x14ac:dyDescent="0.2">
      <c r="B40" s="13"/>
      <c r="E40" s="13"/>
      <c r="I40" s="8"/>
      <c r="J40" s="14"/>
    </row>
    <row r="41" spans="2:10" ht="15.75" customHeight="1" x14ac:dyDescent="0.2">
      <c r="B41" s="13"/>
      <c r="E41" s="13"/>
      <c r="I41" s="8"/>
      <c r="J41" s="14"/>
    </row>
    <row r="42" spans="2:10" ht="15.75" customHeight="1" x14ac:dyDescent="0.2">
      <c r="B42" s="13"/>
      <c r="E42" s="13"/>
      <c r="I42" s="8"/>
      <c r="J42" s="14"/>
    </row>
    <row r="43" spans="2:10" ht="15.75" customHeight="1" x14ac:dyDescent="0.2">
      <c r="B43" s="13"/>
      <c r="E43" s="13"/>
      <c r="I43" s="8"/>
      <c r="J43" s="14"/>
    </row>
    <row r="44" spans="2:10" ht="15.75" customHeight="1" x14ac:dyDescent="0.2">
      <c r="B44" s="13"/>
      <c r="E44" s="13"/>
      <c r="I44" s="8"/>
      <c r="J44" s="14"/>
    </row>
    <row r="45" spans="2:10" ht="15.75" customHeight="1" x14ac:dyDescent="0.2">
      <c r="B45" s="13"/>
      <c r="E45" s="13"/>
      <c r="I45" s="8"/>
      <c r="J45" s="14"/>
    </row>
    <row r="46" spans="2:10" ht="15.75" customHeight="1" x14ac:dyDescent="0.2">
      <c r="B46" s="13"/>
      <c r="E46" s="13"/>
      <c r="I46" s="8"/>
      <c r="J46" s="14"/>
    </row>
    <row r="47" spans="2:10" ht="15.75" customHeight="1" x14ac:dyDescent="0.2">
      <c r="B47" s="13"/>
      <c r="E47" s="13"/>
      <c r="I47" s="8"/>
      <c r="J47" s="14"/>
    </row>
    <row r="48" spans="2:10" ht="15.75" customHeight="1" x14ac:dyDescent="0.2">
      <c r="B48" s="13"/>
      <c r="E48" s="13"/>
      <c r="I48" s="8"/>
      <c r="J48" s="14"/>
    </row>
    <row r="49" spans="2:10" ht="15.75" customHeight="1" x14ac:dyDescent="0.2">
      <c r="B49" s="13"/>
      <c r="E49" s="13"/>
      <c r="I49" s="8"/>
      <c r="J49" s="14"/>
    </row>
    <row r="50" spans="2:10" ht="15.75" customHeight="1" x14ac:dyDescent="0.2">
      <c r="B50" s="13"/>
      <c r="E50" s="13"/>
      <c r="I50" s="8"/>
      <c r="J50" s="14"/>
    </row>
    <row r="51" spans="2:10" ht="15.75" customHeight="1" x14ac:dyDescent="0.2">
      <c r="B51" s="13"/>
      <c r="E51" s="13"/>
      <c r="I51" s="8"/>
      <c r="J51" s="14"/>
    </row>
    <row r="52" spans="2:10" ht="15.75" customHeight="1" x14ac:dyDescent="0.2">
      <c r="B52" s="13"/>
      <c r="E52" s="13"/>
      <c r="I52" s="8"/>
      <c r="J52" s="14"/>
    </row>
    <row r="53" spans="2:10" ht="15.75" customHeight="1" x14ac:dyDescent="0.2">
      <c r="B53" s="13"/>
      <c r="E53" s="13"/>
      <c r="I53" s="8"/>
      <c r="J53" s="14"/>
    </row>
    <row r="54" spans="2:10" ht="15.75" customHeight="1" x14ac:dyDescent="0.15">
      <c r="B54" s="13"/>
      <c r="E54" s="13"/>
      <c r="J54" s="14"/>
    </row>
    <row r="55" spans="2:10" ht="15.75" customHeight="1" x14ac:dyDescent="0.15">
      <c r="B55" s="13"/>
      <c r="E55" s="13"/>
      <c r="J55" s="14"/>
    </row>
    <row r="56" spans="2:10" ht="15.75" customHeight="1" x14ac:dyDescent="0.15">
      <c r="B56" s="13"/>
      <c r="E56" s="13"/>
      <c r="J56" s="14"/>
    </row>
    <row r="57" spans="2:10" ht="15.75" customHeight="1" x14ac:dyDescent="0.15">
      <c r="B57" s="13"/>
      <c r="E57" s="13"/>
      <c r="J57" s="14"/>
    </row>
    <row r="58" spans="2:10" ht="15.75" customHeight="1" x14ac:dyDescent="0.15">
      <c r="B58" s="13"/>
      <c r="E58" s="13"/>
      <c r="J58" s="14"/>
    </row>
    <row r="59" spans="2:10" ht="15.75" customHeight="1" x14ac:dyDescent="0.15">
      <c r="B59" s="13"/>
      <c r="E59" s="13"/>
      <c r="J59" s="14"/>
    </row>
    <row r="60" spans="2:10" ht="15.75" customHeight="1" x14ac:dyDescent="0.15">
      <c r="B60" s="13"/>
      <c r="E60" s="13"/>
      <c r="J60" s="14"/>
    </row>
    <row r="61" spans="2:10" ht="15.75" customHeight="1" x14ac:dyDescent="0.15">
      <c r="B61" s="13"/>
      <c r="E61" s="13"/>
      <c r="J61" s="14"/>
    </row>
    <row r="62" spans="2:10" ht="15.75" customHeight="1" x14ac:dyDescent="0.15">
      <c r="B62" s="13"/>
      <c r="E62" s="13"/>
      <c r="J62" s="14"/>
    </row>
    <row r="63" spans="2:10" ht="15.75" customHeight="1" x14ac:dyDescent="0.15">
      <c r="B63" s="13"/>
      <c r="E63" s="13"/>
      <c r="J63" s="14"/>
    </row>
    <row r="64" spans="2:10" ht="15.75" customHeight="1" x14ac:dyDescent="0.15">
      <c r="B64" s="13"/>
      <c r="E64" s="13"/>
      <c r="J64" s="14"/>
    </row>
    <row r="65" spans="2:10" ht="15.75" customHeight="1" x14ac:dyDescent="0.15">
      <c r="B65" s="13"/>
      <c r="E65" s="13"/>
      <c r="J65" s="14"/>
    </row>
    <row r="66" spans="2:10" ht="15.75" customHeight="1" x14ac:dyDescent="0.15">
      <c r="B66" s="13"/>
      <c r="E66" s="13"/>
      <c r="J66" s="14"/>
    </row>
    <row r="67" spans="2:10" ht="15.75" customHeight="1" x14ac:dyDescent="0.15">
      <c r="B67" s="13"/>
      <c r="E67" s="13"/>
      <c r="J67" s="14"/>
    </row>
    <row r="68" spans="2:10" ht="15.75" customHeight="1" x14ac:dyDescent="0.15">
      <c r="B68" s="13"/>
      <c r="E68" s="13"/>
      <c r="J68" s="14"/>
    </row>
    <row r="69" spans="2:10" ht="15.75" customHeight="1" x14ac:dyDescent="0.15">
      <c r="B69" s="13"/>
      <c r="E69" s="13"/>
      <c r="J69" s="14"/>
    </row>
    <row r="70" spans="2:10" ht="15.75" customHeight="1" x14ac:dyDescent="0.15">
      <c r="B70" s="13"/>
      <c r="E70" s="13"/>
      <c r="J70" s="14"/>
    </row>
    <row r="71" spans="2:10" ht="15.75" customHeight="1" x14ac:dyDescent="0.15">
      <c r="B71" s="13"/>
      <c r="E71" s="13"/>
      <c r="J71" s="14"/>
    </row>
    <row r="72" spans="2:10" ht="15.75" customHeight="1" x14ac:dyDescent="0.15">
      <c r="B72" s="13"/>
      <c r="E72" s="13"/>
      <c r="J72" s="14"/>
    </row>
    <row r="73" spans="2:10" ht="15.75" customHeight="1" x14ac:dyDescent="0.15">
      <c r="B73" s="13"/>
      <c r="E73" s="13"/>
      <c r="J73" s="14"/>
    </row>
    <row r="74" spans="2:10" ht="15.75" customHeight="1" x14ac:dyDescent="0.15">
      <c r="B74" s="13"/>
      <c r="E74" s="13"/>
      <c r="J74" s="14"/>
    </row>
    <row r="75" spans="2:10" ht="15.75" customHeight="1" x14ac:dyDescent="0.15">
      <c r="B75" s="13"/>
      <c r="E75" s="13"/>
      <c r="J75" s="14"/>
    </row>
    <row r="76" spans="2:10" ht="15.75" customHeight="1" x14ac:dyDescent="0.15">
      <c r="B76" s="13"/>
      <c r="E76" s="13"/>
      <c r="J76" s="14"/>
    </row>
    <row r="77" spans="2:10" ht="15.75" customHeight="1" x14ac:dyDescent="0.15">
      <c r="B77" s="13"/>
      <c r="E77" s="13"/>
      <c r="J77" s="14"/>
    </row>
    <row r="78" spans="2:10" ht="15.75" customHeight="1" x14ac:dyDescent="0.15">
      <c r="B78" s="13"/>
      <c r="E78" s="13"/>
      <c r="J78" s="14"/>
    </row>
    <row r="79" spans="2:10" ht="15.75" customHeight="1" x14ac:dyDescent="0.15">
      <c r="B79" s="13"/>
      <c r="E79" s="13"/>
      <c r="J79" s="14"/>
    </row>
    <row r="80" spans="2:10" ht="15.75" customHeight="1" x14ac:dyDescent="0.15">
      <c r="B80" s="13"/>
      <c r="E80" s="13"/>
      <c r="J80" s="14"/>
    </row>
    <row r="81" spans="2:10" ht="15.75" customHeight="1" x14ac:dyDescent="0.15">
      <c r="B81" s="13"/>
      <c r="E81" s="13"/>
      <c r="J81" s="14"/>
    </row>
    <row r="82" spans="2:10" ht="15.75" customHeight="1" x14ac:dyDescent="0.15">
      <c r="B82" s="13"/>
      <c r="E82" s="13"/>
      <c r="J82" s="14"/>
    </row>
    <row r="83" spans="2:10" ht="15.75" customHeight="1" x14ac:dyDescent="0.15">
      <c r="B83" s="13"/>
      <c r="E83" s="13"/>
      <c r="J83" s="14"/>
    </row>
    <row r="84" spans="2:10" ht="15.75" customHeight="1" x14ac:dyDescent="0.15">
      <c r="B84" s="13"/>
      <c r="E84" s="13"/>
      <c r="J84" s="14"/>
    </row>
    <row r="85" spans="2:10" ht="15.75" customHeight="1" x14ac:dyDescent="0.15">
      <c r="B85" s="13"/>
      <c r="E85" s="13"/>
      <c r="J85" s="14"/>
    </row>
    <row r="86" spans="2:10" ht="15.75" customHeight="1" x14ac:dyDescent="0.15">
      <c r="B86" s="13"/>
      <c r="E86" s="13"/>
      <c r="J86" s="14"/>
    </row>
    <row r="87" spans="2:10" ht="15.75" customHeight="1" x14ac:dyDescent="0.15">
      <c r="B87" s="13"/>
      <c r="E87" s="13"/>
      <c r="J87" s="14"/>
    </row>
    <row r="88" spans="2:10" ht="15.75" customHeight="1" x14ac:dyDescent="0.15">
      <c r="B88" s="13"/>
      <c r="E88" s="13"/>
      <c r="J88" s="14"/>
    </row>
    <row r="89" spans="2:10" ht="15.75" customHeight="1" x14ac:dyDescent="0.15">
      <c r="B89" s="13"/>
      <c r="E89" s="13"/>
      <c r="J89" s="14"/>
    </row>
    <row r="90" spans="2:10" ht="15.75" customHeight="1" x14ac:dyDescent="0.15">
      <c r="B90" s="13"/>
      <c r="E90" s="13"/>
      <c r="J90" s="14"/>
    </row>
    <row r="91" spans="2:10" ht="15.75" customHeight="1" x14ac:dyDescent="0.15">
      <c r="B91" s="13"/>
      <c r="E91" s="13"/>
      <c r="J91" s="14"/>
    </row>
    <row r="92" spans="2:10" ht="15.75" customHeight="1" x14ac:dyDescent="0.15">
      <c r="B92" s="13"/>
      <c r="E92" s="13"/>
      <c r="J92" s="14"/>
    </row>
    <row r="93" spans="2:10" ht="15.75" customHeight="1" x14ac:dyDescent="0.15">
      <c r="B93" s="13"/>
      <c r="E93" s="13"/>
      <c r="J93" s="14"/>
    </row>
    <row r="94" spans="2:10" ht="15.75" customHeight="1" x14ac:dyDescent="0.15">
      <c r="B94" s="13"/>
      <c r="E94" s="13"/>
      <c r="J94" s="14"/>
    </row>
    <row r="95" spans="2:10" ht="15.75" customHeight="1" x14ac:dyDescent="0.15">
      <c r="B95" s="13"/>
      <c r="E95" s="13"/>
      <c r="J95" s="14"/>
    </row>
    <row r="96" spans="2:10" ht="15.75" customHeight="1" x14ac:dyDescent="0.15">
      <c r="B96" s="13"/>
      <c r="E96" s="13"/>
      <c r="J96" s="14"/>
    </row>
    <row r="97" spans="2:10" ht="15.75" customHeight="1" x14ac:dyDescent="0.15">
      <c r="B97" s="13"/>
      <c r="E97" s="13"/>
      <c r="J97" s="14"/>
    </row>
    <row r="98" spans="2:10" ht="15.75" customHeight="1" x14ac:dyDescent="0.15">
      <c r="B98" s="13"/>
      <c r="E98" s="13"/>
      <c r="J98" s="14"/>
    </row>
    <row r="99" spans="2:10" ht="15.75" customHeight="1" x14ac:dyDescent="0.15">
      <c r="B99" s="13"/>
      <c r="E99" s="13"/>
      <c r="J99" s="14"/>
    </row>
    <row r="100" spans="2:10" ht="15.75" customHeight="1" x14ac:dyDescent="0.15">
      <c r="B100" s="13"/>
      <c r="E100" s="13"/>
      <c r="J100" s="14"/>
    </row>
    <row r="101" spans="2:10" ht="15.75" customHeight="1" x14ac:dyDescent="0.15">
      <c r="B101" s="13"/>
      <c r="E101" s="13"/>
      <c r="J101" s="14"/>
    </row>
    <row r="102" spans="2:10" ht="15.75" customHeight="1" x14ac:dyDescent="0.15">
      <c r="B102" s="13"/>
      <c r="E102" s="13"/>
      <c r="J102" s="14"/>
    </row>
    <row r="103" spans="2:10" ht="15.75" customHeight="1" x14ac:dyDescent="0.15">
      <c r="B103" s="13"/>
      <c r="E103" s="13"/>
      <c r="J103" s="14"/>
    </row>
    <row r="104" spans="2:10" ht="15.75" customHeight="1" x14ac:dyDescent="0.15">
      <c r="B104" s="13"/>
      <c r="E104" s="13"/>
      <c r="J104" s="14"/>
    </row>
    <row r="105" spans="2:10" ht="15.75" customHeight="1" x14ac:dyDescent="0.15">
      <c r="B105" s="13"/>
      <c r="E105" s="13"/>
      <c r="J105" s="14"/>
    </row>
    <row r="106" spans="2:10" ht="15.75" customHeight="1" x14ac:dyDescent="0.15">
      <c r="B106" s="13"/>
      <c r="E106" s="13"/>
      <c r="J106" s="14"/>
    </row>
    <row r="107" spans="2:10" ht="15.75" customHeight="1" x14ac:dyDescent="0.15">
      <c r="B107" s="13"/>
      <c r="E107" s="13"/>
      <c r="J107" s="14"/>
    </row>
    <row r="108" spans="2:10" ht="15.75" customHeight="1" x14ac:dyDescent="0.15">
      <c r="B108" s="13"/>
      <c r="E108" s="13"/>
      <c r="J108" s="14"/>
    </row>
    <row r="109" spans="2:10" ht="15.75" customHeight="1" x14ac:dyDescent="0.15">
      <c r="B109" s="13"/>
      <c r="E109" s="13"/>
      <c r="J109" s="14"/>
    </row>
    <row r="110" spans="2:10" ht="15.75" customHeight="1" x14ac:dyDescent="0.15">
      <c r="B110" s="13"/>
      <c r="E110" s="13"/>
      <c r="J110" s="14"/>
    </row>
    <row r="111" spans="2:10" ht="15.75" customHeight="1" x14ac:dyDescent="0.15">
      <c r="B111" s="13"/>
      <c r="E111" s="13"/>
      <c r="J111" s="14"/>
    </row>
    <row r="112" spans="2:10" ht="15.75" customHeight="1" x14ac:dyDescent="0.15">
      <c r="B112" s="13"/>
      <c r="E112" s="13"/>
      <c r="J112" s="14"/>
    </row>
    <row r="113" spans="2:10" ht="15.75" customHeight="1" x14ac:dyDescent="0.15">
      <c r="B113" s="13"/>
      <c r="E113" s="13"/>
      <c r="J113" s="14"/>
    </row>
    <row r="114" spans="2:10" ht="15.75" customHeight="1" x14ac:dyDescent="0.15">
      <c r="B114" s="13"/>
      <c r="E114" s="13"/>
      <c r="J114" s="14"/>
    </row>
    <row r="115" spans="2:10" ht="15.75" customHeight="1" x14ac:dyDescent="0.15">
      <c r="B115" s="13"/>
      <c r="E115" s="13"/>
      <c r="J115" s="14"/>
    </row>
    <row r="116" spans="2:10" ht="15.75" customHeight="1" x14ac:dyDescent="0.15">
      <c r="B116" s="13"/>
      <c r="E116" s="13"/>
      <c r="J116" s="14"/>
    </row>
    <row r="117" spans="2:10" ht="15.75" customHeight="1" x14ac:dyDescent="0.15">
      <c r="B117" s="13"/>
      <c r="E117" s="13"/>
      <c r="J117" s="14"/>
    </row>
    <row r="118" spans="2:10" ht="15.75" customHeight="1" x14ac:dyDescent="0.15">
      <c r="B118" s="13"/>
      <c r="E118" s="13"/>
      <c r="J118" s="14"/>
    </row>
    <row r="119" spans="2:10" ht="15.75" customHeight="1" x14ac:dyDescent="0.15">
      <c r="B119" s="13"/>
      <c r="E119" s="13"/>
      <c r="J119" s="14"/>
    </row>
    <row r="120" spans="2:10" ht="15.75" customHeight="1" x14ac:dyDescent="0.15">
      <c r="B120" s="13"/>
      <c r="E120" s="13"/>
      <c r="J120" s="14"/>
    </row>
    <row r="121" spans="2:10" ht="15.75" customHeight="1" x14ac:dyDescent="0.15">
      <c r="B121" s="13"/>
      <c r="E121" s="13"/>
      <c r="J121" s="14"/>
    </row>
    <row r="122" spans="2:10" ht="15.75" customHeight="1" x14ac:dyDescent="0.15">
      <c r="B122" s="13"/>
      <c r="E122" s="13"/>
      <c r="J122" s="14"/>
    </row>
    <row r="123" spans="2:10" ht="15.75" customHeight="1" x14ac:dyDescent="0.15">
      <c r="B123" s="13"/>
      <c r="E123" s="13"/>
      <c r="J123" s="14"/>
    </row>
    <row r="124" spans="2:10" ht="15.75" customHeight="1" x14ac:dyDescent="0.15">
      <c r="B124" s="13"/>
      <c r="E124" s="13"/>
      <c r="J124" s="14"/>
    </row>
    <row r="125" spans="2:10" ht="15.75" customHeight="1" x14ac:dyDescent="0.15">
      <c r="B125" s="13"/>
      <c r="E125" s="13"/>
      <c r="J125" s="14"/>
    </row>
    <row r="126" spans="2:10" ht="15.75" customHeight="1" x14ac:dyDescent="0.15">
      <c r="B126" s="13"/>
      <c r="E126" s="13"/>
      <c r="J126" s="14"/>
    </row>
    <row r="127" spans="2:10" ht="15.75" customHeight="1" x14ac:dyDescent="0.15">
      <c r="B127" s="13"/>
      <c r="E127" s="13"/>
      <c r="J127" s="14"/>
    </row>
    <row r="128" spans="2:10" ht="15.75" customHeight="1" x14ac:dyDescent="0.15">
      <c r="B128" s="13"/>
      <c r="E128" s="13"/>
      <c r="J128" s="14"/>
    </row>
    <row r="129" spans="2:10" ht="15.75" customHeight="1" x14ac:dyDescent="0.15">
      <c r="B129" s="13"/>
      <c r="E129" s="13"/>
      <c r="J129" s="14"/>
    </row>
    <row r="130" spans="2:10" ht="15.75" customHeight="1" x14ac:dyDescent="0.15">
      <c r="B130" s="13"/>
      <c r="E130" s="13"/>
      <c r="J130" s="14"/>
    </row>
    <row r="131" spans="2:10" ht="15.75" customHeight="1" x14ac:dyDescent="0.15">
      <c r="B131" s="13"/>
      <c r="E131" s="13"/>
      <c r="J131" s="14"/>
    </row>
    <row r="132" spans="2:10" ht="15.75" customHeight="1" x14ac:dyDescent="0.15">
      <c r="B132" s="13"/>
      <c r="E132" s="13"/>
      <c r="J132" s="14"/>
    </row>
    <row r="133" spans="2:10" ht="15.75" customHeight="1" x14ac:dyDescent="0.15">
      <c r="B133" s="13"/>
      <c r="E133" s="13"/>
      <c r="J133" s="14"/>
    </row>
    <row r="134" spans="2:10" ht="15.75" customHeight="1" x14ac:dyDescent="0.15">
      <c r="B134" s="13"/>
      <c r="E134" s="13"/>
      <c r="J134" s="14"/>
    </row>
    <row r="135" spans="2:10" ht="15.75" customHeight="1" x14ac:dyDescent="0.15">
      <c r="B135" s="13"/>
      <c r="E135" s="13"/>
      <c r="J135" s="14"/>
    </row>
    <row r="136" spans="2:10" ht="15.75" customHeight="1" x14ac:dyDescent="0.15">
      <c r="B136" s="13"/>
      <c r="E136" s="13"/>
      <c r="J136" s="14"/>
    </row>
    <row r="137" spans="2:10" ht="15.75" customHeight="1" x14ac:dyDescent="0.15">
      <c r="B137" s="13"/>
      <c r="E137" s="13"/>
      <c r="J137" s="14"/>
    </row>
    <row r="138" spans="2:10" ht="15.75" customHeight="1" x14ac:dyDescent="0.15">
      <c r="B138" s="13"/>
      <c r="E138" s="13"/>
      <c r="J138" s="14"/>
    </row>
    <row r="139" spans="2:10" ht="15.75" customHeight="1" x14ac:dyDescent="0.15">
      <c r="B139" s="13"/>
      <c r="E139" s="13"/>
      <c r="J139" s="14"/>
    </row>
    <row r="140" spans="2:10" ht="15.75" customHeight="1" x14ac:dyDescent="0.15">
      <c r="B140" s="13"/>
      <c r="E140" s="13"/>
      <c r="J140" s="14"/>
    </row>
    <row r="141" spans="2:10" ht="15.75" customHeight="1" x14ac:dyDescent="0.15">
      <c r="B141" s="13"/>
      <c r="E141" s="13"/>
      <c r="J141" s="14"/>
    </row>
    <row r="142" spans="2:10" ht="15.75" customHeight="1" x14ac:dyDescent="0.15">
      <c r="B142" s="13"/>
      <c r="E142" s="13"/>
      <c r="J142" s="14"/>
    </row>
    <row r="143" spans="2:10" ht="15.75" customHeight="1" x14ac:dyDescent="0.15">
      <c r="B143" s="13"/>
      <c r="E143" s="13"/>
      <c r="J143" s="14"/>
    </row>
    <row r="144" spans="2:10" ht="15.75" customHeight="1" x14ac:dyDescent="0.15">
      <c r="B144" s="13"/>
      <c r="E144" s="13"/>
      <c r="J144" s="14"/>
    </row>
    <row r="145" spans="2:10" ht="15.75" customHeight="1" x14ac:dyDescent="0.15">
      <c r="B145" s="13"/>
      <c r="E145" s="13"/>
      <c r="J145" s="14"/>
    </row>
    <row r="146" spans="2:10" ht="15.75" customHeight="1" x14ac:dyDescent="0.15">
      <c r="B146" s="13"/>
      <c r="E146" s="13"/>
      <c r="J146" s="14"/>
    </row>
    <row r="147" spans="2:10" ht="15.75" customHeight="1" x14ac:dyDescent="0.15">
      <c r="B147" s="13"/>
      <c r="E147" s="13"/>
      <c r="J147" s="14"/>
    </row>
    <row r="148" spans="2:10" ht="15.75" customHeight="1" x14ac:dyDescent="0.15">
      <c r="B148" s="13"/>
      <c r="E148" s="13"/>
      <c r="J148" s="14"/>
    </row>
    <row r="149" spans="2:10" ht="15.75" customHeight="1" x14ac:dyDescent="0.15">
      <c r="B149" s="13"/>
      <c r="E149" s="13"/>
      <c r="J149" s="14"/>
    </row>
    <row r="150" spans="2:10" ht="15.75" customHeight="1" x14ac:dyDescent="0.15">
      <c r="B150" s="13"/>
      <c r="E150" s="13"/>
      <c r="J150" s="14"/>
    </row>
    <row r="151" spans="2:10" ht="15.75" customHeight="1" x14ac:dyDescent="0.15">
      <c r="B151" s="13"/>
      <c r="E151" s="13"/>
      <c r="J151" s="14"/>
    </row>
    <row r="152" spans="2:10" ht="15.75" customHeight="1" x14ac:dyDescent="0.15">
      <c r="B152" s="13"/>
      <c r="E152" s="13"/>
      <c r="J152" s="14"/>
    </row>
    <row r="153" spans="2:10" ht="15.75" customHeight="1" x14ac:dyDescent="0.15">
      <c r="B153" s="13"/>
      <c r="E153" s="13"/>
      <c r="J153" s="14"/>
    </row>
    <row r="154" spans="2:10" ht="15.75" customHeight="1" x14ac:dyDescent="0.15">
      <c r="B154" s="13"/>
      <c r="E154" s="13"/>
      <c r="J154" s="14"/>
    </row>
    <row r="155" spans="2:10" ht="15.75" customHeight="1" x14ac:dyDescent="0.15">
      <c r="B155" s="13"/>
      <c r="E155" s="13"/>
      <c r="J155" s="14"/>
    </row>
    <row r="156" spans="2:10" ht="15.75" customHeight="1" x14ac:dyDescent="0.15">
      <c r="B156" s="13"/>
      <c r="E156" s="13"/>
      <c r="J156" s="14"/>
    </row>
    <row r="157" spans="2:10" ht="15.75" customHeight="1" x14ac:dyDescent="0.15">
      <c r="B157" s="13"/>
      <c r="E157" s="13"/>
      <c r="J157" s="14"/>
    </row>
    <row r="158" spans="2:10" ht="15.75" customHeight="1" x14ac:dyDescent="0.15">
      <c r="B158" s="13"/>
      <c r="E158" s="13"/>
      <c r="J158" s="14"/>
    </row>
    <row r="159" spans="2:10" ht="15.75" customHeight="1" x14ac:dyDescent="0.15">
      <c r="B159" s="13"/>
      <c r="E159" s="13"/>
      <c r="J159" s="14"/>
    </row>
    <row r="160" spans="2:10" ht="15.75" customHeight="1" x14ac:dyDescent="0.15">
      <c r="B160" s="13"/>
      <c r="E160" s="13"/>
      <c r="J160" s="14"/>
    </row>
    <row r="161" spans="2:10" ht="15.75" customHeight="1" x14ac:dyDescent="0.15">
      <c r="B161" s="13"/>
      <c r="E161" s="13"/>
      <c r="J161" s="14"/>
    </row>
    <row r="162" spans="2:10" ht="15.75" customHeight="1" x14ac:dyDescent="0.15">
      <c r="B162" s="13"/>
      <c r="E162" s="13"/>
      <c r="J162" s="14"/>
    </row>
    <row r="163" spans="2:10" ht="15.75" customHeight="1" x14ac:dyDescent="0.15">
      <c r="B163" s="13"/>
      <c r="E163" s="13"/>
      <c r="J163" s="14"/>
    </row>
    <row r="164" spans="2:10" ht="15.75" customHeight="1" x14ac:dyDescent="0.15">
      <c r="B164" s="13"/>
      <c r="E164" s="13"/>
      <c r="J164" s="14"/>
    </row>
    <row r="165" spans="2:10" ht="15.75" customHeight="1" x14ac:dyDescent="0.15">
      <c r="B165" s="13"/>
      <c r="E165" s="13"/>
      <c r="J165" s="14"/>
    </row>
    <row r="166" spans="2:10" ht="15.75" customHeight="1" x14ac:dyDescent="0.15">
      <c r="B166" s="13"/>
      <c r="E166" s="13"/>
      <c r="J166" s="14"/>
    </row>
    <row r="167" spans="2:10" ht="15.75" customHeight="1" x14ac:dyDescent="0.15">
      <c r="B167" s="13"/>
      <c r="E167" s="13"/>
      <c r="J167" s="14"/>
    </row>
    <row r="168" spans="2:10" ht="15.75" customHeight="1" x14ac:dyDescent="0.15">
      <c r="B168" s="13"/>
      <c r="E168" s="13"/>
      <c r="J168" s="14"/>
    </row>
    <row r="169" spans="2:10" ht="15.75" customHeight="1" x14ac:dyDescent="0.15">
      <c r="B169" s="13"/>
      <c r="E169" s="13"/>
      <c r="J169" s="14"/>
    </row>
    <row r="170" spans="2:10" ht="15.75" customHeight="1" x14ac:dyDescent="0.15">
      <c r="B170" s="13"/>
      <c r="E170" s="13"/>
      <c r="J170" s="14"/>
    </row>
    <row r="171" spans="2:10" ht="15.75" customHeight="1" x14ac:dyDescent="0.15">
      <c r="B171" s="13"/>
      <c r="E171" s="13"/>
      <c r="J171" s="14"/>
    </row>
    <row r="172" spans="2:10" ht="15.75" customHeight="1" x14ac:dyDescent="0.15">
      <c r="B172" s="13"/>
      <c r="E172" s="13"/>
      <c r="J172" s="14"/>
    </row>
    <row r="173" spans="2:10" ht="15.75" customHeight="1" x14ac:dyDescent="0.15">
      <c r="B173" s="13"/>
      <c r="E173" s="13"/>
      <c r="J173" s="14"/>
    </row>
    <row r="174" spans="2:10" ht="15.75" customHeight="1" x14ac:dyDescent="0.15">
      <c r="B174" s="13"/>
      <c r="E174" s="13"/>
      <c r="J174" s="14"/>
    </row>
    <row r="175" spans="2:10" ht="15.75" customHeight="1" x14ac:dyDescent="0.15">
      <c r="B175" s="13"/>
      <c r="E175" s="13"/>
      <c r="J175" s="14"/>
    </row>
    <row r="176" spans="2:10" ht="15.75" customHeight="1" x14ac:dyDescent="0.15">
      <c r="B176" s="13"/>
      <c r="E176" s="13"/>
      <c r="J176" s="14"/>
    </row>
    <row r="177" spans="2:10" ht="15.75" customHeight="1" x14ac:dyDescent="0.15">
      <c r="B177" s="13"/>
      <c r="E177" s="13"/>
      <c r="J177" s="14"/>
    </row>
    <row r="178" spans="2:10" ht="15.75" customHeight="1" x14ac:dyDescent="0.15">
      <c r="B178" s="13"/>
      <c r="E178" s="13"/>
      <c r="J178" s="14"/>
    </row>
    <row r="179" spans="2:10" ht="15.75" customHeight="1" x14ac:dyDescent="0.15">
      <c r="B179" s="13"/>
      <c r="E179" s="13"/>
      <c r="J179" s="14"/>
    </row>
    <row r="180" spans="2:10" ht="15.75" customHeight="1" x14ac:dyDescent="0.15">
      <c r="B180" s="13"/>
      <c r="E180" s="13"/>
      <c r="J180" s="14"/>
    </row>
    <row r="181" spans="2:10" ht="15.75" customHeight="1" x14ac:dyDescent="0.15">
      <c r="B181" s="13"/>
      <c r="E181" s="13"/>
      <c r="J181" s="14"/>
    </row>
    <row r="182" spans="2:10" ht="15.75" customHeight="1" x14ac:dyDescent="0.15">
      <c r="B182" s="13"/>
      <c r="E182" s="13"/>
      <c r="J182" s="14"/>
    </row>
    <row r="183" spans="2:10" ht="15.75" customHeight="1" x14ac:dyDescent="0.15">
      <c r="B183" s="13"/>
      <c r="E183" s="13"/>
      <c r="J183" s="14"/>
    </row>
    <row r="184" spans="2:10" ht="15.75" customHeight="1" x14ac:dyDescent="0.15">
      <c r="B184" s="13"/>
      <c r="E184" s="13"/>
      <c r="J184" s="14"/>
    </row>
    <row r="185" spans="2:10" ht="15.75" customHeight="1" x14ac:dyDescent="0.15">
      <c r="B185" s="13"/>
      <c r="E185" s="13"/>
      <c r="J185" s="14"/>
    </row>
    <row r="186" spans="2:10" ht="15.75" customHeight="1" x14ac:dyDescent="0.15">
      <c r="B186" s="13"/>
      <c r="E186" s="13"/>
      <c r="J186" s="14"/>
    </row>
    <row r="187" spans="2:10" ht="15.75" customHeight="1" x14ac:dyDescent="0.15">
      <c r="B187" s="13"/>
      <c r="E187" s="13"/>
      <c r="J187" s="14"/>
    </row>
    <row r="188" spans="2:10" ht="15.75" customHeight="1" x14ac:dyDescent="0.15">
      <c r="B188" s="13"/>
      <c r="E188" s="13"/>
      <c r="J188" s="14"/>
    </row>
    <row r="189" spans="2:10" ht="15.75" customHeight="1" x14ac:dyDescent="0.15">
      <c r="B189" s="13"/>
      <c r="E189" s="13"/>
      <c r="J189" s="14"/>
    </row>
    <row r="190" spans="2:10" ht="15.75" customHeight="1" x14ac:dyDescent="0.15">
      <c r="B190" s="13"/>
      <c r="E190" s="13"/>
      <c r="J190" s="14"/>
    </row>
    <row r="191" spans="2:10" ht="15.75" customHeight="1" x14ac:dyDescent="0.15">
      <c r="B191" s="13"/>
      <c r="E191" s="13"/>
      <c r="J191" s="14"/>
    </row>
    <row r="192" spans="2:10" ht="15.75" customHeight="1" x14ac:dyDescent="0.15">
      <c r="B192" s="13"/>
      <c r="E192" s="13"/>
      <c r="J192" s="14"/>
    </row>
    <row r="193" spans="2:10" ht="15.75" customHeight="1" x14ac:dyDescent="0.15">
      <c r="B193" s="13"/>
      <c r="E193" s="13"/>
      <c r="J193" s="14"/>
    </row>
    <row r="194" spans="2:10" ht="15.75" customHeight="1" x14ac:dyDescent="0.15">
      <c r="B194" s="13"/>
      <c r="E194" s="13"/>
      <c r="J194" s="14"/>
    </row>
    <row r="195" spans="2:10" ht="15.75" customHeight="1" x14ac:dyDescent="0.15">
      <c r="B195" s="13"/>
      <c r="E195" s="13"/>
      <c r="J195" s="14"/>
    </row>
    <row r="196" spans="2:10" ht="15.75" customHeight="1" x14ac:dyDescent="0.15">
      <c r="B196" s="13"/>
      <c r="E196" s="13"/>
      <c r="J196" s="14"/>
    </row>
    <row r="197" spans="2:10" ht="15.75" customHeight="1" x14ac:dyDescent="0.15">
      <c r="B197" s="13"/>
      <c r="E197" s="13"/>
      <c r="J197" s="14"/>
    </row>
    <row r="198" spans="2:10" ht="15.75" customHeight="1" x14ac:dyDescent="0.15">
      <c r="B198" s="13"/>
      <c r="E198" s="13"/>
      <c r="J198" s="14"/>
    </row>
    <row r="199" spans="2:10" ht="15.75" customHeight="1" x14ac:dyDescent="0.15">
      <c r="B199" s="13"/>
      <c r="E199" s="13"/>
      <c r="J199" s="14"/>
    </row>
    <row r="200" spans="2:10" ht="15.75" customHeight="1" x14ac:dyDescent="0.15">
      <c r="B200" s="13"/>
      <c r="E200" s="13"/>
      <c r="J200" s="14"/>
    </row>
    <row r="201" spans="2:10" ht="15.75" customHeight="1" x14ac:dyDescent="0.15">
      <c r="B201" s="13"/>
      <c r="E201" s="13"/>
      <c r="J201" s="14"/>
    </row>
    <row r="202" spans="2:10" ht="15.75" customHeight="1" x14ac:dyDescent="0.15">
      <c r="B202" s="13"/>
      <c r="E202" s="13"/>
      <c r="J202" s="14"/>
    </row>
    <row r="203" spans="2:10" ht="15.75" customHeight="1" x14ac:dyDescent="0.15">
      <c r="B203" s="13"/>
      <c r="E203" s="13"/>
      <c r="J203" s="14"/>
    </row>
    <row r="204" spans="2:10" ht="15.75" customHeight="1" x14ac:dyDescent="0.15">
      <c r="B204" s="13"/>
      <c r="E204" s="13"/>
      <c r="J204" s="14"/>
    </row>
    <row r="205" spans="2:10" ht="15.75" customHeight="1" x14ac:dyDescent="0.15">
      <c r="B205" s="13"/>
      <c r="E205" s="13"/>
      <c r="J205" s="14"/>
    </row>
    <row r="206" spans="2:10" ht="15.75" customHeight="1" x14ac:dyDescent="0.15">
      <c r="B206" s="13"/>
      <c r="E206" s="13"/>
      <c r="J206" s="14"/>
    </row>
    <row r="207" spans="2:10" ht="15.75" customHeight="1" x14ac:dyDescent="0.15">
      <c r="B207" s="13"/>
      <c r="E207" s="13"/>
      <c r="J207" s="14"/>
    </row>
    <row r="208" spans="2:10" ht="15.75" customHeight="1" x14ac:dyDescent="0.15">
      <c r="B208" s="13"/>
      <c r="E208" s="13"/>
      <c r="J208" s="14"/>
    </row>
    <row r="209" spans="2:10" ht="15.75" customHeight="1" x14ac:dyDescent="0.15">
      <c r="B209" s="13"/>
      <c r="E209" s="13"/>
      <c r="J209" s="14"/>
    </row>
    <row r="210" spans="2:10" ht="15.75" customHeight="1" x14ac:dyDescent="0.15">
      <c r="B210" s="13"/>
      <c r="E210" s="13"/>
      <c r="J210" s="14"/>
    </row>
    <row r="211" spans="2:10" ht="15.75" customHeight="1" x14ac:dyDescent="0.15">
      <c r="B211" s="13"/>
      <c r="E211" s="13"/>
      <c r="J211" s="14"/>
    </row>
    <row r="212" spans="2:10" ht="15.75" customHeight="1" x14ac:dyDescent="0.15">
      <c r="B212" s="13"/>
      <c r="E212" s="13"/>
      <c r="J212" s="14"/>
    </row>
    <row r="213" spans="2:10" ht="15.75" customHeight="1" x14ac:dyDescent="0.15">
      <c r="B213" s="13"/>
      <c r="E213" s="13"/>
      <c r="J213" s="14"/>
    </row>
    <row r="214" spans="2:10" ht="15.75" customHeight="1" x14ac:dyDescent="0.15">
      <c r="B214" s="13"/>
      <c r="E214" s="13"/>
      <c r="J214" s="14"/>
    </row>
    <row r="215" spans="2:10" ht="15.75" customHeight="1" x14ac:dyDescent="0.15">
      <c r="B215" s="13"/>
      <c r="E215" s="13"/>
      <c r="J215" s="14"/>
    </row>
    <row r="216" spans="2:10" ht="15.75" customHeight="1" x14ac:dyDescent="0.15">
      <c r="B216" s="13"/>
      <c r="E216" s="13"/>
      <c r="J216" s="14"/>
    </row>
    <row r="217" spans="2:10" ht="15.75" customHeight="1" x14ac:dyDescent="0.15">
      <c r="B217" s="13"/>
      <c r="E217" s="13"/>
      <c r="J217" s="14"/>
    </row>
    <row r="218" spans="2:10" ht="15.75" customHeight="1" x14ac:dyDescent="0.15">
      <c r="B218" s="13"/>
      <c r="E218" s="13"/>
      <c r="J218" s="14"/>
    </row>
    <row r="219" spans="2:10" ht="15.75" customHeight="1" x14ac:dyDescent="0.15">
      <c r="B219" s="13"/>
      <c r="E219" s="13"/>
      <c r="J219" s="14"/>
    </row>
    <row r="220" spans="2:10" ht="15.75" customHeight="1" x14ac:dyDescent="0.15"/>
    <row r="221" spans="2:10" ht="15.75" customHeight="1" x14ac:dyDescent="0.15"/>
    <row r="222" spans="2:10" ht="15.75" customHeight="1" x14ac:dyDescent="0.15"/>
    <row r="223" spans="2:10" ht="15.75" customHeight="1" x14ac:dyDescent="0.15"/>
    <row r="224" spans="2:10"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mergeCells count="4">
    <mergeCell ref="A17:A19"/>
    <mergeCell ref="A20:A28"/>
    <mergeCell ref="A2:A6"/>
    <mergeCell ref="A7:A16"/>
  </mergeCells>
  <conditionalFormatting sqref="I2:I53">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election activeCell="B15" sqref="B15"/>
    </sheetView>
  </sheetViews>
  <sheetFormatPr baseColWidth="10" defaultColWidth="12.6640625" defaultRowHeight="15" customHeight="1" x14ac:dyDescent="0.15"/>
  <cols>
    <col min="1" max="1" width="20.5" customWidth="1"/>
    <col min="2" max="2" width="20.83203125" customWidth="1"/>
    <col min="3" max="3" width="19.6640625" customWidth="1"/>
    <col min="4" max="4" width="22.83203125" customWidth="1"/>
    <col min="5" max="5" width="23.83203125" customWidth="1"/>
    <col min="6" max="6" width="20.33203125" customWidth="1"/>
    <col min="7" max="7" width="23.83203125" customWidth="1"/>
    <col min="8" max="8" width="20.33203125" customWidth="1"/>
    <col min="9" max="9" width="22.1640625" customWidth="1"/>
  </cols>
  <sheetData>
    <row r="1" spans="1:9" ht="67.5" customHeight="1" x14ac:dyDescent="0.2">
      <c r="A1" s="15" t="s">
        <v>8</v>
      </c>
      <c r="B1" s="15" t="s">
        <v>9</v>
      </c>
      <c r="C1" s="15" t="s">
        <v>10</v>
      </c>
      <c r="D1" s="15" t="s">
        <v>11</v>
      </c>
      <c r="E1" s="15" t="s">
        <v>12</v>
      </c>
      <c r="F1" s="15" t="s">
        <v>13</v>
      </c>
      <c r="G1" s="15" t="s">
        <v>14</v>
      </c>
      <c r="H1" s="15" t="s">
        <v>15</v>
      </c>
      <c r="I1" s="15" t="s">
        <v>12</v>
      </c>
    </row>
    <row r="2" spans="1:9" ht="75.75" customHeight="1" x14ac:dyDescent="0.25">
      <c r="A2" s="16">
        <f>COUNTIF(TestCases!B2:B59,"*")</f>
        <v>28</v>
      </c>
      <c r="B2" s="16">
        <f>COUNTIF(TestCases!I2:O59,"Pass")</f>
        <v>23</v>
      </c>
      <c r="C2" s="16">
        <f>COUNTIF(TestCases!I2:I59,"Fail")</f>
        <v>5</v>
      </c>
      <c r="D2" s="16">
        <f>COUNTIF(TestCases!I2:I59,"Blocked")</f>
        <v>0</v>
      </c>
      <c r="E2" s="16">
        <f>B2+C2</f>
        <v>28</v>
      </c>
      <c r="F2" s="17">
        <f>(D2/A2)*100</f>
        <v>0</v>
      </c>
      <c r="G2" s="18">
        <f>(C2/A2)*100</f>
        <v>17.857142857142858</v>
      </c>
      <c r="H2" s="17">
        <f>(B2/A2)*100</f>
        <v>82.142857142857139</v>
      </c>
      <c r="I2" s="18">
        <f>((B2+C2)/A2)*100</f>
        <v>100</v>
      </c>
    </row>
    <row r="3" spans="1:9" ht="15.75" customHeight="1" x14ac:dyDescent="0.15"/>
    <row r="4" spans="1:9" ht="15.75" customHeight="1" x14ac:dyDescent="0.15"/>
    <row r="5" spans="1:9" ht="15.75" customHeight="1" x14ac:dyDescent="0.15"/>
    <row r="6" spans="1:9" ht="15.75" customHeight="1" x14ac:dyDescent="0.15"/>
    <row r="7" spans="1:9" ht="15.75" customHeight="1" x14ac:dyDescent="0.15"/>
    <row r="8" spans="1:9" ht="15.75" customHeight="1" x14ac:dyDescent="0.15"/>
    <row r="9" spans="1:9" ht="15.75" customHeight="1" x14ac:dyDescent="0.15"/>
    <row r="10" spans="1:9" ht="15.75" customHeight="1" x14ac:dyDescent="0.15"/>
    <row r="11" spans="1:9" ht="15.75" customHeight="1" x14ac:dyDescent="0.15"/>
    <row r="12" spans="1:9" ht="15.75" customHeight="1" x14ac:dyDescent="0.15"/>
    <row r="13" spans="1:9" ht="15.75" customHeight="1" x14ac:dyDescent="0.15"/>
    <row r="14" spans="1:9" ht="15.75" customHeight="1" x14ac:dyDescent="0.15"/>
    <row r="15" spans="1:9" ht="15.75" customHeight="1" x14ac:dyDescent="0.15"/>
    <row r="16" spans="1:9"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cp:lastModifiedBy>
  <dcterms:created xsi:type="dcterms:W3CDTF">2026-01-12T11:56:18Z</dcterms:created>
  <dcterms:modified xsi:type="dcterms:W3CDTF">2026-01-24T19:28:01Z</dcterms:modified>
</cp:coreProperties>
</file>